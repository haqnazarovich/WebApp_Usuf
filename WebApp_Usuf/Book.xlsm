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ююю\"/>
    </mc:Choice>
  </mc:AlternateContent>
  <xr:revisionPtr revIDLastSave="0" documentId="13_ncr:1_{E1780B28-60B5-4154-B5E4-9FF598068137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data" sheetId="1" r:id="rId1"/>
  </sheets>
  <definedNames>
    <definedName name="solver_adj" localSheetId="0" hidden="1">data!$C$24:$C$30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data!$C$31</definedName>
    <definedName name="solver_lhs10" localSheetId="0" hidden="1">data!$F$25</definedName>
    <definedName name="solver_lhs11" localSheetId="0" hidden="1">data!$F$28</definedName>
    <definedName name="solver_lhs12" localSheetId="0" hidden="1">data!$F$28</definedName>
    <definedName name="solver_lhs13" localSheetId="0" hidden="1">data!$F$29</definedName>
    <definedName name="solver_lhs14" localSheetId="0" hidden="1">data!$F$29</definedName>
    <definedName name="solver_lhs2" localSheetId="0" hidden="1">data!$C$31</definedName>
    <definedName name="solver_lhs3" localSheetId="0" hidden="1">data!$D$32</definedName>
    <definedName name="solver_lhs4" localSheetId="0" hidden="1">data!$D$32</definedName>
    <definedName name="solver_lhs5" localSheetId="0" hidden="1">data!$E$32</definedName>
    <definedName name="solver_lhs6" localSheetId="0" hidden="1">data!$E$32</definedName>
    <definedName name="solver_lhs7" localSheetId="0" hidden="1">data!$F$24</definedName>
    <definedName name="solver_lhs8" localSheetId="0" hidden="1">data!$F$24</definedName>
    <definedName name="solver_lhs9" localSheetId="0" hidden="1">data!$F$25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14</definedName>
    <definedName name="solver_nwt" localSheetId="0" hidden="1">1</definedName>
    <definedName name="solver_opt" localSheetId="0" hidden="1">data!$C$44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1</definedName>
    <definedName name="solver_rel12" localSheetId="0" hidden="1">3</definedName>
    <definedName name="solver_rel13" localSheetId="0" hidden="1">1</definedName>
    <definedName name="solver_rel14" localSheetId="0" hidden="1">3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el9" localSheetId="0" hidden="1">1</definedName>
    <definedName name="solver_rhs1" localSheetId="0" hidden="1">data!$C$34</definedName>
    <definedName name="solver_rhs10" localSheetId="0" hidden="1">data!$G$25</definedName>
    <definedName name="solver_rhs11" localSheetId="0" hidden="1">data!$H$28</definedName>
    <definedName name="solver_rhs12" localSheetId="0" hidden="1">data!$G$28</definedName>
    <definedName name="solver_rhs13" localSheetId="0" hidden="1">data!$H$29</definedName>
    <definedName name="solver_rhs14" localSheetId="0" hidden="1">data!$G$29</definedName>
    <definedName name="solver_rhs2" localSheetId="0" hidden="1">data!$C$33</definedName>
    <definedName name="solver_rhs3" localSheetId="0" hidden="1">data!$D$34</definedName>
    <definedName name="solver_rhs4" localSheetId="0" hidden="1">data!$D$33</definedName>
    <definedName name="solver_rhs5" localSheetId="0" hidden="1">data!$E$34</definedName>
    <definedName name="solver_rhs6" localSheetId="0" hidden="1">data!$E$33</definedName>
    <definedName name="solver_rhs7" localSheetId="0" hidden="1">data!$H$24</definedName>
    <definedName name="solver_rhs8" localSheetId="0" hidden="1">data!$G$24</definedName>
    <definedName name="solver_rhs9" localSheetId="0" hidden="1">data!$H$25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8" i="1" l="1"/>
  <c r="C39" i="1"/>
  <c r="C40" i="1"/>
  <c r="C41" i="1"/>
  <c r="C42" i="1"/>
  <c r="C43" i="1"/>
  <c r="C37" i="1"/>
  <c r="C34" i="1"/>
  <c r="C33" i="1"/>
  <c r="E25" i="1"/>
  <c r="E26" i="1"/>
  <c r="E27" i="1"/>
  <c r="E28" i="1"/>
  <c r="E29" i="1"/>
  <c r="E30" i="1"/>
  <c r="E24" i="1"/>
  <c r="D25" i="1"/>
  <c r="D26" i="1"/>
  <c r="D27" i="1"/>
  <c r="D28" i="1"/>
  <c r="D29" i="1"/>
  <c r="D30" i="1"/>
  <c r="D24" i="1"/>
  <c r="C31" i="1"/>
  <c r="F25" i="1" s="1"/>
  <c r="C44" i="1" l="1"/>
  <c r="D32" i="1"/>
  <c r="C32" i="1"/>
  <c r="E32" i="1"/>
  <c r="D31" i="1"/>
  <c r="F24" i="1"/>
  <c r="E31" i="1"/>
  <c r="F29" i="1"/>
  <c r="F28" i="1"/>
  <c r="F30" i="1"/>
  <c r="F27" i="1"/>
  <c r="F26" i="1"/>
</calcChain>
</file>

<file path=xl/sharedStrings.xml><?xml version="1.0" encoding="utf-8"?>
<sst xmlns="http://schemas.openxmlformats.org/spreadsheetml/2006/main" count="37" uniqueCount="27">
  <si>
    <t>Компонент шихты</t>
  </si>
  <si>
    <t>Si</t>
  </si>
  <si>
    <t>Чугун литейный</t>
  </si>
  <si>
    <t>Mn</t>
  </si>
  <si>
    <t>Чугун передельный</t>
  </si>
  <si>
    <t>Чугун зеркальный</t>
  </si>
  <si>
    <t>Лом чугунный</t>
  </si>
  <si>
    <t>Лом стальной</t>
  </si>
  <si>
    <t>Возврат</t>
  </si>
  <si>
    <t>Ферросилиций 45%</t>
  </si>
  <si>
    <t>Химический состав, %</t>
  </si>
  <si>
    <t>Стоимость, усл.ед. / т</t>
  </si>
  <si>
    <t>Суммарный вес, Т</t>
  </si>
  <si>
    <t>Всего, Т</t>
  </si>
  <si>
    <t>Si, Т</t>
  </si>
  <si>
    <t>Mn, Т</t>
  </si>
  <si>
    <t>от</t>
  </si>
  <si>
    <t>до</t>
  </si>
  <si>
    <t>Стоимость:</t>
  </si>
  <si>
    <t>Ст. компонентов</t>
  </si>
  <si>
    <t>Вес, Т</t>
  </si>
  <si>
    <t>%</t>
  </si>
  <si>
    <t>Серое поле - это расчетная величина</t>
  </si>
  <si>
    <t>Зеленное поле - это ограничения(диапазоны)</t>
  </si>
  <si>
    <t>Красное поле - это то, что можно менять</t>
  </si>
  <si>
    <t>от %</t>
  </si>
  <si>
    <t>до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</si>
</sst>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name val="Calibri"/>
      <family val="2"/>
      <scheme val="minor"/>
    </font>
    <font>
      <sz val="11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5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0" fillId="0" borderId="0" xfId="0" applyBorder="1"/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0" fillId="4" borderId="8" xfId="0" applyFill="1" applyBorder="1"/>
    <xf numFmtId="0" fontId="0" fillId="5" borderId="8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0" borderId="0" xfId="0" applyAlignment="1">
      <alignment horizontal="right"/>
    </xf>
    <xf numFmtId="0" fontId="2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3" fillId="5" borderId="8" xfId="0" applyFont="1" applyFill="1" applyBorder="1" applyAlignment="1">
      <alignment horizontal="center" vertical="center" wrapText="1"/>
    </xf>
    <xf numFmtId="0" fontId="0" fillId="5" borderId="8" xfId="0" applyFont="1" applyFill="1" applyBorder="1" applyAlignment="1">
      <alignment horizontal="center"/>
    </xf>
    <xf numFmtId="0" fontId="0" fillId="7" borderId="8" xfId="0" applyFill="1" applyBorder="1"/>
    <xf numFmtId="0" fontId="1" fillId="7" borderId="8" xfId="0" applyFont="1" applyFill="1" applyBorder="1" applyAlignment="1">
      <alignment vertical="center" wrapText="1"/>
    </xf>
    <xf numFmtId="0" fontId="0" fillId="7" borderId="8" xfId="0" applyFill="1" applyBorder="1" applyAlignment="1">
      <alignment horizontal="right"/>
    </xf>
    <xf numFmtId="0" fontId="1" fillId="7" borderId="8" xfId="0" applyFont="1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/>
    </xf>
    <xf numFmtId="0" fontId="1" fillId="7" borderId="3" xfId="0" applyFont="1" applyFill="1" applyBorder="1" applyAlignment="1">
      <alignment vertical="center" wrapText="1"/>
    </xf>
    <xf numFmtId="0" fontId="1" fillId="7" borderId="5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/>
    </xf>
    <xf numFmtId="0" fontId="0" fillId="3" borderId="8" xfId="0" applyFill="1" applyBorder="1" applyAlignment="1">
      <alignment horizontal="right"/>
    </xf>
    <xf numFmtId="0" fontId="1" fillId="2" borderId="1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1" fillId="7" borderId="7" xfId="0" applyFont="1" applyFill="1" applyBorder="1" applyAlignment="1">
      <alignment horizontal="center" vertical="center" wrapText="1"/>
    </xf>
    <xf numFmtId="0" fontId="1" fillId="7" borderId="5" xfId="0" applyFont="1" applyFill="1" applyBorder="1" applyAlignment="1">
      <alignment horizontal="center" vertical="center" wrapText="1"/>
    </xf>
    <xf numFmtId="0" fontId="1" fillId="7" borderId="1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9</xdr:row>
          <xdr:rowOff>190500</xdr:rowOff>
        </xdr:from>
        <xdr:to>
          <xdr:col>6</xdr:col>
          <xdr:colOff>746760</xdr:colOff>
          <xdr:row>12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Поиск решения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H44"/>
  <sheetViews>
    <sheetView tabSelected="1" zoomScaleNormal="100" workbookViewId="0">
      <selection activeCell="B17" sqref="B17"/>
    </sheetView>
  </sheetViews>
  <sheetFormatPr defaultRowHeight="14.4" x14ac:dyDescent="0.3"/>
  <cols>
    <col min="2" max="2" width="35.33203125" customWidth="1"/>
    <col min="3" max="3" width="17.88671875" customWidth="1"/>
    <col min="4" max="4" width="17.6640625" customWidth="1"/>
    <col min="5" max="5" width="21.109375" customWidth="1"/>
    <col min="6" max="6" width="17.88671875" customWidth="1"/>
    <col min="7" max="7" width="18" customWidth="1"/>
    <col min="8" max="8" width="17.5546875" customWidth="1"/>
  </cols>
  <sheetData>
    <row r="1" spans="2:7" ht="15" thickBot="1" x14ac:dyDescent="0.35"/>
    <row r="2" spans="2:7" ht="31.2" customHeight="1" x14ac:dyDescent="0.3">
      <c r="B2" s="26" t="s">
        <v>0</v>
      </c>
      <c r="C2" s="29" t="s">
        <v>10</v>
      </c>
      <c r="D2" s="30"/>
      <c r="E2" s="26" t="s">
        <v>11</v>
      </c>
      <c r="G2" s="22" t="s">
        <v>12</v>
      </c>
    </row>
    <row r="3" spans="2:7" ht="15" thickBot="1" x14ac:dyDescent="0.35">
      <c r="B3" s="27"/>
      <c r="C3" s="31"/>
      <c r="D3" s="32"/>
      <c r="E3" s="33"/>
      <c r="F3" s="23" t="s">
        <v>16</v>
      </c>
      <c r="G3" s="10">
        <v>200</v>
      </c>
    </row>
    <row r="4" spans="2:7" ht="16.2" thickBot="1" x14ac:dyDescent="0.35">
      <c r="B4" s="28"/>
      <c r="C4" s="21" t="s">
        <v>1</v>
      </c>
      <c r="D4" s="21" t="s">
        <v>3</v>
      </c>
      <c r="E4" s="31"/>
      <c r="F4" s="23" t="s">
        <v>17</v>
      </c>
      <c r="G4" s="11">
        <v>200</v>
      </c>
    </row>
    <row r="5" spans="2:7" ht="16.2" thickBot="1" x14ac:dyDescent="0.35">
      <c r="B5" s="20" t="s">
        <v>2</v>
      </c>
      <c r="C5" s="1">
        <v>1.26</v>
      </c>
      <c r="D5" s="1">
        <v>0.68</v>
      </c>
      <c r="E5" s="1">
        <v>75.5</v>
      </c>
    </row>
    <row r="6" spans="2:7" ht="16.2" thickBot="1" x14ac:dyDescent="0.35">
      <c r="B6" s="20" t="s">
        <v>4</v>
      </c>
      <c r="C6" s="1">
        <v>1.08</v>
      </c>
      <c r="D6" s="1">
        <v>0.26</v>
      </c>
      <c r="E6" s="1">
        <v>60</v>
      </c>
    </row>
    <row r="7" spans="2:7" ht="16.2" thickBot="1" x14ac:dyDescent="0.35">
      <c r="B7" s="20" t="s">
        <v>5</v>
      </c>
      <c r="C7" s="1">
        <v>1.64</v>
      </c>
      <c r="D7" s="1">
        <v>1.57</v>
      </c>
      <c r="E7" s="1">
        <v>97</v>
      </c>
    </row>
    <row r="8" spans="2:7" ht="16.2" thickBot="1" x14ac:dyDescent="0.35">
      <c r="B8" s="20" t="s">
        <v>6</v>
      </c>
      <c r="C8" s="1">
        <v>1.5</v>
      </c>
      <c r="D8" s="1">
        <v>0.7</v>
      </c>
      <c r="E8" s="1">
        <v>36.200000000000003</v>
      </c>
    </row>
    <row r="9" spans="2:7" ht="16.2" thickBot="1" x14ac:dyDescent="0.35">
      <c r="B9" s="20" t="s">
        <v>7</v>
      </c>
      <c r="C9" s="1">
        <v>0.5</v>
      </c>
      <c r="D9" s="1">
        <v>0.5</v>
      </c>
      <c r="E9" s="1">
        <v>34.299999999999997</v>
      </c>
    </row>
    <row r="10" spans="2:7" ht="16.2" thickBot="1" x14ac:dyDescent="0.35">
      <c r="B10" s="20" t="s">
        <v>8</v>
      </c>
      <c r="C10" s="1">
        <v>0.4</v>
      </c>
      <c r="D10" s="1">
        <v>0.65</v>
      </c>
      <c r="E10" s="1">
        <v>36.200000000000003</v>
      </c>
    </row>
    <row r="11" spans="2:7" ht="16.2" thickBot="1" x14ac:dyDescent="0.35">
      <c r="B11" s="20" t="s">
        <v>9</v>
      </c>
      <c r="C11" s="1">
        <v>52.02</v>
      </c>
      <c r="D11" s="1">
        <v>0.44</v>
      </c>
      <c r="E11" s="1">
        <v>120</v>
      </c>
    </row>
    <row r="13" spans="2:7" ht="16.2" customHeight="1" x14ac:dyDescent="0.3">
      <c r="B13" s="3"/>
      <c r="C13" s="4"/>
      <c r="D13" s="4"/>
      <c r="E13" s="3"/>
      <c r="F13" s="3"/>
    </row>
    <row r="14" spans="2:7" ht="15.6" x14ac:dyDescent="0.3">
      <c r="B14" s="5"/>
      <c r="C14" s="4"/>
      <c r="D14" s="4"/>
      <c r="E14" s="4"/>
      <c r="F14" s="3"/>
    </row>
    <row r="15" spans="2:7" ht="15.6" x14ac:dyDescent="0.3">
      <c r="B15" s="5"/>
      <c r="C15" s="4"/>
      <c r="D15" s="4"/>
      <c r="E15" s="4"/>
      <c r="F15" s="3"/>
    </row>
    <row r="16" spans="2:7" ht="15.6" x14ac:dyDescent="0.3">
      <c r="B16" s="5"/>
      <c r="C16" s="4"/>
      <c r="D16" s="4"/>
      <c r="E16" s="4"/>
      <c r="F16" s="3"/>
    </row>
    <row r="17" spans="2:8" ht="15.6" x14ac:dyDescent="0.3">
      <c r="B17" s="5"/>
      <c r="C17" s="4"/>
      <c r="D17" s="4"/>
      <c r="E17" s="4"/>
      <c r="F17" s="3"/>
    </row>
    <row r="18" spans="2:8" ht="15.6" x14ac:dyDescent="0.3">
      <c r="B18" s="25" t="s">
        <v>24</v>
      </c>
      <c r="C18" s="25"/>
      <c r="D18" s="25"/>
      <c r="E18" s="25"/>
      <c r="F18" s="3"/>
    </row>
    <row r="19" spans="2:8" ht="15.6" x14ac:dyDescent="0.3">
      <c r="B19" s="25" t="s">
        <v>22</v>
      </c>
      <c r="C19" s="25"/>
      <c r="D19" s="25"/>
      <c r="E19" s="25"/>
      <c r="F19" s="3"/>
    </row>
    <row r="20" spans="2:8" ht="17.399999999999999" customHeight="1" x14ac:dyDescent="0.3">
      <c r="B20" s="25" t="s">
        <v>23</v>
      </c>
      <c r="C20" s="25"/>
      <c r="D20" s="25"/>
      <c r="E20" s="25"/>
      <c r="F20" s="3"/>
    </row>
    <row r="23" spans="2:8" ht="15.6" x14ac:dyDescent="0.3">
      <c r="B23" s="15"/>
      <c r="C23" s="15" t="s">
        <v>13</v>
      </c>
      <c r="D23" s="18" t="s">
        <v>14</v>
      </c>
      <c r="E23" s="18" t="s">
        <v>15</v>
      </c>
      <c r="F23" s="19" t="s">
        <v>21</v>
      </c>
      <c r="G23" s="19" t="s">
        <v>25</v>
      </c>
      <c r="H23" s="19" t="s">
        <v>26</v>
      </c>
    </row>
    <row r="24" spans="2:8" ht="15.6" x14ac:dyDescent="0.3">
      <c r="B24" s="16" t="s">
        <v>2</v>
      </c>
      <c r="C24" s="24">
        <v>48.000035963708314</v>
      </c>
      <c r="D24" s="2">
        <f>C24*C5/100</f>
        <v>0.60480045314272468</v>
      </c>
      <c r="E24" s="2">
        <f>C24*D5/100</f>
        <v>0.32640024455321659</v>
      </c>
      <c r="F24" s="8">
        <f>C24/($C$31/100)</f>
        <v>23.999999686203342</v>
      </c>
      <c r="G24" s="7">
        <v>24</v>
      </c>
      <c r="H24" s="7">
        <v>50</v>
      </c>
    </row>
    <row r="25" spans="2:8" ht="15.6" x14ac:dyDescent="0.3">
      <c r="B25" s="16" t="s">
        <v>4</v>
      </c>
      <c r="C25" s="24">
        <v>48.000037487914916</v>
      </c>
      <c r="D25" s="2">
        <f t="shared" ref="D25:D30" si="0">C25*C6/100</f>
        <v>0.51840040486948114</v>
      </c>
      <c r="E25" s="2">
        <f t="shared" ref="E25:E30" si="1">C25*D6/100</f>
        <v>0.1248000974685788</v>
      </c>
      <c r="F25" s="8">
        <f t="shared" ref="F25:F30" si="2">C25/($C$31/100)</f>
        <v>24.000000448306064</v>
      </c>
      <c r="G25" s="7">
        <v>24</v>
      </c>
      <c r="H25" s="7">
        <v>50</v>
      </c>
    </row>
    <row r="26" spans="2:8" ht="15.6" x14ac:dyDescent="0.3">
      <c r="B26" s="16" t="s">
        <v>5</v>
      </c>
      <c r="C26" s="24">
        <v>0</v>
      </c>
      <c r="D26" s="2">
        <f t="shared" si="0"/>
        <v>0</v>
      </c>
      <c r="E26" s="2">
        <f t="shared" si="1"/>
        <v>0</v>
      </c>
      <c r="F26" s="8">
        <f t="shared" si="2"/>
        <v>0</v>
      </c>
      <c r="G26" s="7"/>
      <c r="H26" s="7"/>
    </row>
    <row r="27" spans="2:8" ht="15.6" x14ac:dyDescent="0.3">
      <c r="B27" s="16" t="s">
        <v>6</v>
      </c>
      <c r="C27" s="24">
        <v>34.186882081453064</v>
      </c>
      <c r="D27" s="2">
        <f t="shared" si="0"/>
        <v>0.51280323122179594</v>
      </c>
      <c r="E27" s="2">
        <f t="shared" si="1"/>
        <v>0.23930817457017142</v>
      </c>
      <c r="F27" s="8">
        <f t="shared" si="2"/>
        <v>17.093428010085109</v>
      </c>
      <c r="G27" s="7"/>
      <c r="H27" s="7"/>
    </row>
    <row r="28" spans="2:8" ht="15.6" x14ac:dyDescent="0.3">
      <c r="B28" s="16" t="s">
        <v>7</v>
      </c>
      <c r="C28" s="24">
        <v>24.000018293020361</v>
      </c>
      <c r="D28" s="2">
        <f t="shared" si="0"/>
        <v>0.12000009146510181</v>
      </c>
      <c r="E28" s="2">
        <f t="shared" si="1"/>
        <v>0.12000009146510181</v>
      </c>
      <c r="F28" s="8">
        <f t="shared" si="2"/>
        <v>11.999999998684656</v>
      </c>
      <c r="G28" s="7">
        <v>8</v>
      </c>
      <c r="H28" s="7">
        <v>12</v>
      </c>
    </row>
    <row r="29" spans="2:8" ht="15.6" x14ac:dyDescent="0.3">
      <c r="B29" s="16" t="s">
        <v>8</v>
      </c>
      <c r="C29" s="24">
        <v>40.000031003948202</v>
      </c>
      <c r="D29" s="2">
        <f t="shared" si="0"/>
        <v>0.16000012401579281</v>
      </c>
      <c r="E29" s="2">
        <f t="shared" si="1"/>
        <v>0.26000020152566333</v>
      </c>
      <c r="F29" s="8">
        <f t="shared" si="2"/>
        <v>20.000000255598028</v>
      </c>
      <c r="G29" s="7">
        <v>20</v>
      </c>
      <c r="H29" s="7">
        <v>40</v>
      </c>
    </row>
    <row r="30" spans="2:8" ht="15.6" x14ac:dyDescent="0.3">
      <c r="B30" s="16" t="s">
        <v>9</v>
      </c>
      <c r="C30" s="24">
        <v>5.8131476337139265</v>
      </c>
      <c r="D30" s="2">
        <f t="shared" si="0"/>
        <v>3.0239993990579848</v>
      </c>
      <c r="E30" s="2">
        <f t="shared" si="1"/>
        <v>2.5577849588341275E-2</v>
      </c>
      <c r="F30" s="8">
        <f t="shared" si="2"/>
        <v>2.9065716011228062</v>
      </c>
      <c r="G30" s="7"/>
      <c r="H30" s="7"/>
    </row>
    <row r="31" spans="2:8" x14ac:dyDescent="0.3">
      <c r="B31" s="17" t="s">
        <v>20</v>
      </c>
      <c r="C31" s="8">
        <f>SUM(C24:C30)</f>
        <v>200.00015246375878</v>
      </c>
      <c r="D31" s="12">
        <f t="shared" ref="D31:E31" si="3">SUM(D24:D30)</f>
        <v>4.9400037037728808</v>
      </c>
      <c r="E31" s="12">
        <f t="shared" si="3"/>
        <v>1.0960866591710732</v>
      </c>
    </row>
    <row r="32" spans="2:8" x14ac:dyDescent="0.3">
      <c r="B32" s="17" t="s">
        <v>21</v>
      </c>
      <c r="C32" s="12">
        <f>SUM(C24:C30)/(C31/100)</f>
        <v>100</v>
      </c>
      <c r="D32" s="8">
        <f>SUM(D24:D30)/(C31/100)</f>
        <v>2.4699999689590433</v>
      </c>
      <c r="E32" s="8">
        <f>SUM(E24:E30)/(C31/100)</f>
        <v>0.54804291180212505</v>
      </c>
    </row>
    <row r="33" spans="2:5" x14ac:dyDescent="0.3">
      <c r="B33" s="17" t="s">
        <v>16</v>
      </c>
      <c r="C33" s="13">
        <f>G3</f>
        <v>200</v>
      </c>
      <c r="D33" s="14">
        <v>2.4700000000000002</v>
      </c>
      <c r="E33" s="14">
        <v>0.37</v>
      </c>
    </row>
    <row r="34" spans="2:5" x14ac:dyDescent="0.3">
      <c r="B34" s="17" t="s">
        <v>17</v>
      </c>
      <c r="C34" s="13">
        <f>G4</f>
        <v>200</v>
      </c>
      <c r="D34" s="13">
        <v>2.54</v>
      </c>
      <c r="E34" s="13">
        <v>1</v>
      </c>
    </row>
    <row r="36" spans="2:5" x14ac:dyDescent="0.3">
      <c r="C36" s="15" t="s">
        <v>19</v>
      </c>
    </row>
    <row r="37" spans="2:5" ht="15.6" x14ac:dyDescent="0.3">
      <c r="C37" s="2">
        <f>C24*E5</f>
        <v>3624.0027152599778</v>
      </c>
    </row>
    <row r="38" spans="2:5" ht="15.6" x14ac:dyDescent="0.3">
      <c r="C38" s="2">
        <f t="shared" ref="C38:C43" si="4">C25*E6</f>
        <v>2880.0022492748949</v>
      </c>
    </row>
    <row r="39" spans="2:5" ht="15.6" x14ac:dyDescent="0.3">
      <c r="C39" s="2">
        <f t="shared" si="4"/>
        <v>0</v>
      </c>
    </row>
    <row r="40" spans="2:5" ht="15.6" x14ac:dyDescent="0.3">
      <c r="C40" s="2">
        <f t="shared" si="4"/>
        <v>1237.565131348601</v>
      </c>
    </row>
    <row r="41" spans="2:5" ht="15.6" x14ac:dyDescent="0.3">
      <c r="C41" s="2">
        <f t="shared" si="4"/>
        <v>823.20062745059829</v>
      </c>
    </row>
    <row r="42" spans="2:5" ht="15.6" x14ac:dyDescent="0.3">
      <c r="C42" s="2">
        <f t="shared" si="4"/>
        <v>1448.0011223429251</v>
      </c>
    </row>
    <row r="43" spans="2:5" ht="15.6" x14ac:dyDescent="0.3">
      <c r="C43" s="2">
        <f t="shared" si="4"/>
        <v>697.5777160456712</v>
      </c>
    </row>
    <row r="44" spans="2:5" x14ac:dyDescent="0.3">
      <c r="B44" s="9" t="s">
        <v>18</v>
      </c>
      <c r="C44" s="6">
        <f>SUM(C37:C43)</f>
        <v>10710.349561722667</v>
      </c>
    </row>
  </sheetData>
  <mergeCells count="6">
    <mergeCell ref="B19:E19"/>
    <mergeCell ref="B20:E20"/>
    <mergeCell ref="B18:E18"/>
    <mergeCell ref="B2:B4"/>
    <mergeCell ref="C2:D3"/>
    <mergeCell ref="E2:E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1">
                <anchor moveWithCells="1" sizeWithCells="1">
                  <from>
                    <xdr:col>5</xdr:col>
                    <xdr:colOff>259080</xdr:colOff>
                    <xdr:row>9</xdr:row>
                    <xdr:rowOff>190500</xdr:rowOff>
                  </from>
                  <to>
                    <xdr:col>6</xdr:col>
                    <xdr:colOff>746760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chaylord</dc:creator>
  <cp:lastModifiedBy>НЕ для себя</cp:lastModifiedBy>
  <dcterms:created xsi:type="dcterms:W3CDTF">2015-06-05T18:19:34Z</dcterms:created>
  <dcterms:modified xsi:type="dcterms:W3CDTF">2022-01-24T18:06:48Z</dcterms:modified>
</cp:coreProperties>
</file>